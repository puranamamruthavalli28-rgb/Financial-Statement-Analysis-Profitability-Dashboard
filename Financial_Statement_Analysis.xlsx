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1BF1D75-7F43-44FB-8353-046BA4D32B69}" xr6:coauthVersionLast="47" xr6:coauthVersionMax="47" xr10:uidLastSave="{00000000-0000-0000-0000-000000000000}"/>
  <bookViews>
    <workbookView xWindow="-110" yWindow="-110" windowWidth="19420" windowHeight="10300" xr2:uid="{5819B1F1-F505-4425-87B8-C7BFDFD47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R3" i="1" s="1"/>
  <c r="O4" i="1"/>
  <c r="O5" i="1"/>
  <c r="O6" i="1"/>
  <c r="U2" i="1"/>
  <c r="U3" i="1"/>
  <c r="U4" i="1"/>
  <c r="U5" i="1"/>
  <c r="U6" i="1"/>
  <c r="T2" i="1"/>
  <c r="T3" i="1"/>
  <c r="T4" i="1"/>
  <c r="T5" i="1"/>
  <c r="T6" i="1"/>
  <c r="S2" i="1"/>
  <c r="S3" i="1"/>
  <c r="S4" i="1"/>
  <c r="S5" i="1"/>
  <c r="S6" i="1"/>
  <c r="Q2" i="1"/>
  <c r="Q3" i="1"/>
  <c r="Q4" i="1"/>
  <c r="Q5" i="1"/>
  <c r="Q6" i="1"/>
  <c r="P2" i="1"/>
  <c r="P3" i="1"/>
  <c r="P4" i="1"/>
  <c r="P5" i="1"/>
  <c r="P6" i="1"/>
  <c r="N2" i="1"/>
  <c r="N3" i="1"/>
  <c r="N4" i="1"/>
  <c r="N5" i="1"/>
  <c r="N6" i="1"/>
  <c r="M2" i="1"/>
  <c r="M3" i="1"/>
  <c r="M4" i="1"/>
  <c r="M5" i="1"/>
  <c r="M6" i="1"/>
  <c r="L2" i="1"/>
  <c r="L3" i="1"/>
  <c r="L4" i="1"/>
  <c r="L5" i="1"/>
  <c r="L6" i="1"/>
  <c r="V2" i="1" l="1"/>
  <c r="R2" i="1"/>
  <c r="V3" i="1"/>
  <c r="R4" i="1"/>
  <c r="V4" i="1"/>
  <c r="R5" i="1"/>
  <c r="V5" i="1"/>
  <c r="V6" i="1"/>
  <c r="R6" i="1"/>
</calcChain>
</file>

<file path=xl/sharedStrings.xml><?xml version="1.0" encoding="utf-8"?>
<sst xmlns="http://schemas.openxmlformats.org/spreadsheetml/2006/main" count="22" uniqueCount="22">
  <si>
    <t>Year</t>
  </si>
  <si>
    <t>Revenue</t>
  </si>
  <si>
    <t>COGS</t>
  </si>
  <si>
    <t>Operating Expenses</t>
  </si>
  <si>
    <t>Internet Expenses</t>
  </si>
  <si>
    <t>Tax</t>
  </si>
  <si>
    <t>Total Assests</t>
  </si>
  <si>
    <t>Current Assets</t>
  </si>
  <si>
    <t>Current Laibilities</t>
  </si>
  <si>
    <t>Total Liabilities</t>
  </si>
  <si>
    <t>Equity</t>
  </si>
  <si>
    <t>Gross Profit</t>
  </si>
  <si>
    <t>Operating Profit</t>
  </si>
  <si>
    <t>Profit BeforeTax</t>
  </si>
  <si>
    <t>Net Profit</t>
  </si>
  <si>
    <t>Gross Profit Margin</t>
  </si>
  <si>
    <t>Net Profit Margin</t>
  </si>
  <si>
    <t>Current Ratio</t>
  </si>
  <si>
    <t>Debit To Equity</t>
  </si>
  <si>
    <t>Revenue Growth%</t>
  </si>
  <si>
    <t>Net Profit Growth%</t>
  </si>
  <si>
    <t>Operating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</si>
</sst>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10B96-B236-45C4-9A58-E9EB5EB60766}" name="Table1" displayName="Table1" ref="A1:V6" totalsRowShown="0">
  <autoFilter ref="A1:V6" xr:uid="{EC710B96-B236-45C4-9A58-E9EB5EB60766}"/>
  <tableColumns count="22">
    <tableColumn id="1" xr3:uid="{F0602C1D-A42B-41B7-86AE-41B8664A74DA}" name="Year"/>
    <tableColumn id="2" xr3:uid="{2E7043B3-CE23-4CBB-8DC7-7E6E0E00D046}" name="Revenue"/>
    <tableColumn id="3" xr3:uid="{D0AFD262-E7B8-4D85-8281-126B8878ABE9}" name="COGS"/>
    <tableColumn id="4" xr3:uid="{04257890-5DBC-418D-A341-CCD6C4A50074}" name="Operating Expenses"/>
    <tableColumn id="5" xr3:uid="{201D8774-5B34-4922-B0C5-635770820F8C}" name="Internet Expenses"/>
    <tableColumn id="6" xr3:uid="{827D7A25-2B0A-489B-9E8D-A5D9ADB2D39F}" name="Tax"/>
    <tableColumn id="7" xr3:uid="{B49A892B-F570-45A6-94D8-2E7DA4A2DE98}" name="Total Assests"/>
    <tableColumn id="8" xr3:uid="{F8A4A42C-4EA6-4A7B-8481-913F38708AE1}" name="Current Assets"/>
    <tableColumn id="9" xr3:uid="{49372F9A-84B1-4250-B650-366BB57CD6EB}" name="Current Laibilities"/>
    <tableColumn id="10" xr3:uid="{1EE91329-31DF-424E-9A8B-879AB74BACFA}" name="Total Liabilities"/>
    <tableColumn id="11" xr3:uid="{CAB90A0B-2F17-469C-A049-68EB57B888F9}" name="Equity"/>
    <tableColumn id="12" xr3:uid="{D4767DE9-87B6-4D23-871E-A72BB831C1BC}" name="Gross Profit" dataDxfId="10">
      <calculatedColumnFormula>B2-C2</calculatedColumnFormula>
    </tableColumn>
    <tableColumn id="13" xr3:uid="{6C529D2C-6384-4D50-A9A7-EC494FE52652}" name="Operating Profit" dataDxfId="9">
      <calculatedColumnFormula>L2-D2</calculatedColumnFormula>
    </tableColumn>
    <tableColumn id="14" xr3:uid="{A302D66A-D207-498C-919B-86CB5D8E173C}" name="Profit BeforeTax" dataDxfId="8">
      <calculatedColumnFormula>M2-E2</calculatedColumnFormula>
    </tableColumn>
    <tableColumn id="15" xr3:uid="{C5B06E6E-01EC-4B4C-9A85-0B19AEA6B7EC}" name="Net Profit" dataDxfId="0">
      <calculatedColumnFormula>N2-F2</calculatedColumnFormula>
    </tableColumn>
    <tableColumn id="16" xr3:uid="{002B07C7-2499-4761-BD60-BAC313281F42}" name="Gross Profit Margin" dataDxfId="7">
      <calculatedColumnFormula>L2/B2</calculatedColumnFormula>
    </tableColumn>
    <tableColumn id="17" xr3:uid="{3715721C-F421-4C9A-846C-E561034BE192}" name="Operating Profit Margin" dataDxfId="6">
      <calculatedColumnFormula>M2/B2</calculatedColumnFormula>
    </tableColumn>
    <tableColumn id="18" xr3:uid="{0149BFA9-57A6-429B-BE26-B7CAE9ADD7F6}" name="Net Profit Margin" dataDxfId="5">
      <calculatedColumnFormula>O2/B2</calculatedColumnFormula>
    </tableColumn>
    <tableColumn id="19" xr3:uid="{090FFA16-1237-4526-873C-C007B41C316B}" name="Current Ratio" dataDxfId="4">
      <calculatedColumnFormula>H2/I2</calculatedColumnFormula>
    </tableColumn>
    <tableColumn id="20" xr3:uid="{CFA9906E-CE36-4A84-9396-FFB142F592A3}" name="Debit To Equity" dataDxfId="3">
      <calculatedColumnFormula>J2/K2</calculatedColumnFormula>
    </tableColumn>
    <tableColumn id="21" xr3:uid="{E374F4E6-E1F6-4968-8674-8E9446D720B1}" name="Revenue Growth%" dataDxfId="2">
      <calculatedColumnFormula>(B3-B2)/B2</calculatedColumnFormula>
    </tableColumn>
    <tableColumn id="22" xr3:uid="{85B6D1C7-4BA5-406C-BD75-77CD4A213ED4}" name="Net Profit Growth%" dataDxfId="1">
      <calculatedColumnFormula>(O3-O2)/O2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8E3F-7920-47B5-8FEC-AE9827D23E7F}">
  <dimension ref="A1:V6"/>
  <sheetViews>
    <sheetView tabSelected="1" topLeftCell="F1" workbookViewId="0">
      <selection activeCell="P3" sqref="P3"/>
    </sheetView>
  </sheetViews>
  <sheetFormatPr defaultRowHeight="14.5" x14ac:dyDescent="0.35"/>
  <cols>
    <col min="2" max="2" width="10" customWidth="1"/>
    <col min="4" max="4" width="19.26953125" customWidth="1"/>
    <col min="5" max="5" width="17.7265625" customWidth="1"/>
    <col min="7" max="7" width="13.54296875" customWidth="1"/>
    <col min="8" max="8" width="14.90625" customWidth="1"/>
    <col min="9" max="9" width="17.26953125" customWidth="1"/>
    <col min="10" max="10" width="15.08984375" customWidth="1"/>
    <col min="12" max="12" width="12.7265625" customWidth="1"/>
    <col min="13" max="13" width="16.6328125" customWidth="1"/>
    <col min="14" max="14" width="16.7265625" customWidth="1"/>
    <col min="15" max="15" width="11.54296875" customWidth="1"/>
    <col min="16" max="16" width="19.81640625" customWidth="1"/>
    <col min="17" max="17" width="22.7265625" customWidth="1"/>
    <col min="18" max="18" width="17.6328125" customWidth="1"/>
    <col min="19" max="19" width="14.7265625" customWidth="1"/>
    <col min="20" max="20" width="16.08984375" customWidth="1"/>
    <col min="21" max="21" width="19.26953125" customWidth="1"/>
    <col min="22" max="22" width="19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2021</v>
      </c>
      <c r="B2">
        <v>5000000</v>
      </c>
      <c r="C2">
        <v>3000000</v>
      </c>
      <c r="D2">
        <v>1000000</v>
      </c>
      <c r="E2">
        <v>150000</v>
      </c>
      <c r="F2">
        <v>170000</v>
      </c>
      <c r="G2">
        <v>6000000</v>
      </c>
      <c r="H2">
        <v>2200000</v>
      </c>
      <c r="I2">
        <v>1500000</v>
      </c>
      <c r="J2">
        <v>3500000</v>
      </c>
      <c r="K2">
        <v>2500000</v>
      </c>
      <c r="L2">
        <f t="shared" ref="L2:L6" si="0">B2-C2</f>
        <v>2000000</v>
      </c>
      <c r="M2">
        <f t="shared" ref="M2:M6" si="1">L2-D2</f>
        <v>1000000</v>
      </c>
      <c r="N2">
        <f t="shared" ref="N2:N6" si="2">M2-E2</f>
        <v>850000</v>
      </c>
      <c r="O2">
        <f t="shared" ref="O2:O6" si="3">N2-F2</f>
        <v>680000</v>
      </c>
      <c r="P2">
        <f t="shared" ref="P2:P6" si="4">L2/B2</f>
        <v>0.4</v>
      </c>
      <c r="Q2">
        <f t="shared" ref="Q2:Q6" si="5">M2/B2</f>
        <v>0.2</v>
      </c>
      <c r="R2">
        <f t="shared" ref="R2:R6" si="6">O2/B2</f>
        <v>0.13600000000000001</v>
      </c>
      <c r="S2">
        <f t="shared" ref="S2:S6" si="7">H2/I2</f>
        <v>1.4666666666666666</v>
      </c>
      <c r="T2">
        <f t="shared" ref="T2:T6" si="8">J2/K2</f>
        <v>1.4</v>
      </c>
      <c r="U2">
        <f t="shared" ref="U2:U6" si="9">(B3-B2)/B2</f>
        <v>0.12</v>
      </c>
      <c r="V2">
        <f t="shared" ref="V2:V6" si="10">(O3-O2)/O2</f>
        <v>0.35294117647058826</v>
      </c>
    </row>
    <row r="3" spans="1:22" x14ac:dyDescent="0.35">
      <c r="A3">
        <v>2022</v>
      </c>
      <c r="B3">
        <v>5600000</v>
      </c>
      <c r="C3">
        <v>3300000</v>
      </c>
      <c r="D3">
        <v>1050000</v>
      </c>
      <c r="E3">
        <v>140000</v>
      </c>
      <c r="F3">
        <v>190000</v>
      </c>
      <c r="G3">
        <v>6500000</v>
      </c>
      <c r="H3">
        <v>2500000</v>
      </c>
      <c r="I3">
        <v>1550000</v>
      </c>
      <c r="J3">
        <v>3600000</v>
      </c>
      <c r="K3">
        <v>2900000</v>
      </c>
      <c r="L3">
        <f t="shared" si="0"/>
        <v>2300000</v>
      </c>
      <c r="M3">
        <f t="shared" si="1"/>
        <v>1250000</v>
      </c>
      <c r="N3">
        <f t="shared" si="2"/>
        <v>1110000</v>
      </c>
      <c r="O3">
        <f t="shared" si="3"/>
        <v>920000</v>
      </c>
      <c r="P3">
        <f t="shared" si="4"/>
        <v>0.4107142857142857</v>
      </c>
      <c r="Q3">
        <f t="shared" si="5"/>
        <v>0.22321428571428573</v>
      </c>
      <c r="R3">
        <f t="shared" si="6"/>
        <v>0.16428571428571428</v>
      </c>
      <c r="S3">
        <f t="shared" si="7"/>
        <v>1.6129032258064515</v>
      </c>
      <c r="T3">
        <f t="shared" si="8"/>
        <v>1.2413793103448276</v>
      </c>
      <c r="U3">
        <f t="shared" si="9"/>
        <v>0.125</v>
      </c>
      <c r="V3">
        <f t="shared" si="10"/>
        <v>0.30434782608695654</v>
      </c>
    </row>
    <row r="4" spans="1:22" x14ac:dyDescent="0.35">
      <c r="A4">
        <v>2023</v>
      </c>
      <c r="B4">
        <v>6300000</v>
      </c>
      <c r="C4">
        <v>3650000</v>
      </c>
      <c r="D4">
        <v>1100000</v>
      </c>
      <c r="E4">
        <v>130000</v>
      </c>
      <c r="F4">
        <v>220000</v>
      </c>
      <c r="G4">
        <v>7100000</v>
      </c>
      <c r="H4">
        <v>2800000</v>
      </c>
      <c r="I4">
        <v>1600000</v>
      </c>
      <c r="J4">
        <v>3700000</v>
      </c>
      <c r="K4">
        <v>3400000</v>
      </c>
      <c r="L4">
        <f t="shared" si="0"/>
        <v>2650000</v>
      </c>
      <c r="M4">
        <f t="shared" si="1"/>
        <v>1550000</v>
      </c>
      <c r="N4">
        <f t="shared" si="2"/>
        <v>1420000</v>
      </c>
      <c r="O4">
        <f t="shared" si="3"/>
        <v>1200000</v>
      </c>
      <c r="P4">
        <f t="shared" si="4"/>
        <v>0.42063492063492064</v>
      </c>
      <c r="Q4">
        <f t="shared" si="5"/>
        <v>0.24603174603174602</v>
      </c>
      <c r="R4">
        <f t="shared" si="6"/>
        <v>0.19047619047619047</v>
      </c>
      <c r="S4">
        <f t="shared" si="7"/>
        <v>1.75</v>
      </c>
      <c r="T4">
        <f t="shared" si="8"/>
        <v>1.088235294117647</v>
      </c>
      <c r="U4">
        <f t="shared" si="9"/>
        <v>0.14285714285714285</v>
      </c>
      <c r="V4">
        <f t="shared" si="10"/>
        <v>0.30833333333333335</v>
      </c>
    </row>
    <row r="5" spans="1:22" x14ac:dyDescent="0.35">
      <c r="A5">
        <v>2024</v>
      </c>
      <c r="B5">
        <v>7200000</v>
      </c>
      <c r="C5">
        <v>4050000</v>
      </c>
      <c r="D5">
        <v>1200000</v>
      </c>
      <c r="E5">
        <v>120000</v>
      </c>
      <c r="F5">
        <v>260000</v>
      </c>
      <c r="G5">
        <v>7800000</v>
      </c>
      <c r="H5">
        <v>3150000</v>
      </c>
      <c r="I5">
        <v>1650000</v>
      </c>
      <c r="J5">
        <v>3800000</v>
      </c>
      <c r="K5">
        <v>4000000</v>
      </c>
      <c r="L5">
        <f t="shared" si="0"/>
        <v>3150000</v>
      </c>
      <c r="M5">
        <f t="shared" si="1"/>
        <v>1950000</v>
      </c>
      <c r="N5">
        <f t="shared" si="2"/>
        <v>1830000</v>
      </c>
      <c r="O5">
        <f t="shared" si="3"/>
        <v>1570000</v>
      </c>
      <c r="P5">
        <f t="shared" si="4"/>
        <v>0.4375</v>
      </c>
      <c r="Q5">
        <f t="shared" si="5"/>
        <v>0.27083333333333331</v>
      </c>
      <c r="R5">
        <f t="shared" si="6"/>
        <v>0.21805555555555556</v>
      </c>
      <c r="S5">
        <f t="shared" si="7"/>
        <v>1.9090909090909092</v>
      </c>
      <c r="T5">
        <f t="shared" si="8"/>
        <v>0.95</v>
      </c>
      <c r="U5">
        <f t="shared" si="9"/>
        <v>0.1388888888888889</v>
      </c>
      <c r="V5">
        <f t="shared" si="10"/>
        <v>0.26114649681528662</v>
      </c>
    </row>
    <row r="6" spans="1:22" x14ac:dyDescent="0.35">
      <c r="A6">
        <v>2025</v>
      </c>
      <c r="B6">
        <v>8200000</v>
      </c>
      <c r="C6">
        <v>4500000</v>
      </c>
      <c r="D6">
        <v>1300000</v>
      </c>
      <c r="E6">
        <v>110000</v>
      </c>
      <c r="F6">
        <v>310000</v>
      </c>
      <c r="G6">
        <v>8600000</v>
      </c>
      <c r="H6">
        <v>3500000</v>
      </c>
      <c r="I6">
        <v>1700000</v>
      </c>
      <c r="J6">
        <v>3900000</v>
      </c>
      <c r="K6">
        <v>4700000</v>
      </c>
      <c r="L6">
        <f t="shared" si="0"/>
        <v>3700000</v>
      </c>
      <c r="M6">
        <f t="shared" si="1"/>
        <v>2400000</v>
      </c>
      <c r="N6">
        <f t="shared" si="2"/>
        <v>2290000</v>
      </c>
      <c r="O6">
        <f t="shared" si="3"/>
        <v>1980000</v>
      </c>
      <c r="P6">
        <f t="shared" si="4"/>
        <v>0.45121951219512196</v>
      </c>
      <c r="Q6">
        <f t="shared" si="5"/>
        <v>0.29268292682926828</v>
      </c>
      <c r="R6">
        <f t="shared" si="6"/>
        <v>0.24146341463414633</v>
      </c>
      <c r="S6">
        <f t="shared" si="7"/>
        <v>2.0588235294117645</v>
      </c>
      <c r="T6">
        <f t="shared" si="8"/>
        <v>0.82978723404255317</v>
      </c>
      <c r="U6">
        <f t="shared" si="9"/>
        <v>-1</v>
      </c>
      <c r="V6">
        <f t="shared" si="10"/>
        <v>-1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2026-08-31T12:30:14Z</dcterms:created>
  <dcterms:modified xsi:type="dcterms:W3CDTF">2026-09-05T05:04:56Z</dcterms:modified>
</cp:coreProperties>
</file>